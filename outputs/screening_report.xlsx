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 Resul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'Screening Results'!$A$1:$J$13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0" pivotButton="0" quotePrefix="0" xfId="0"/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15" customWidth="1" min="4" max="4"/>
    <col width="15" customWidth="1" min="5" max="5"/>
    <col width="18" customWidth="1" min="6" max="6"/>
    <col width="15" customWidth="1" min="7" max="7"/>
    <col width="15" customWidth="1" min="8" max="8"/>
    <col width="75" customWidth="1" min="9" max="9"/>
    <col width="18" customWidth="1" min="10" max="10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Candidate ID</t>
        </is>
      </c>
      <c r="D1" s="1" t="inlineStr">
        <is>
          <t>Final Score</t>
        </is>
      </c>
      <c r="E1" s="1" t="inlineStr">
        <is>
          <t>Skills Match</t>
        </is>
      </c>
      <c r="F1" s="1" t="inlineStr">
        <is>
          <t>NLP Similarity</t>
        </is>
      </c>
      <c r="G1" s="1" t="inlineStr">
        <is>
          <t>Experience</t>
        </is>
      </c>
      <c r="H1" s="1" t="inlineStr">
        <is>
          <t>Education</t>
        </is>
      </c>
      <c r="I1" s="1" t="inlineStr">
        <is>
          <t>Matched Skills</t>
        </is>
      </c>
      <c r="J1" s="1" t="inlineStr">
        <is>
          <t>Decision</t>
        </is>
      </c>
    </row>
    <row r="2">
      <c r="A2" s="2" t="inlineStr">
        <is>
          <t>1</t>
        </is>
      </c>
      <c r="B2" s="3" t="inlineStr">
        <is>
          <t>Arjun Nair</t>
        </is>
      </c>
      <c r="C2" s="2" t="inlineStr">
        <is>
          <t>candidate_07</t>
        </is>
      </c>
      <c r="D2" s="2" t="inlineStr">
        <is>
          <t>75.53%</t>
        </is>
      </c>
      <c r="E2" s="2" t="inlineStr">
        <is>
          <t>69.23%</t>
        </is>
      </c>
      <c r="F2" s="2" t="inlineStr">
        <is>
          <t>51.33%</t>
        </is>
      </c>
      <c r="G2" s="2" t="inlineStr">
        <is>
          <t>100.00%</t>
        </is>
      </c>
      <c r="H2" s="2" t="inlineStr">
        <is>
          <t>100.00%</t>
        </is>
      </c>
      <c r="I2" s="3" t="inlineStr">
        <is>
          <t>Python, Machine Learning, Artificial Intelligence, NLP, SQL, LLMs, Generative AI, Git, Research</t>
        </is>
      </c>
      <c r="J2" s="2" t="inlineStr">
        <is>
          <t>Strong Match</t>
        </is>
      </c>
    </row>
    <row r="3">
      <c r="A3" s="2" t="inlineStr">
        <is>
          <t>2</t>
        </is>
      </c>
      <c r="B3" s="3" t="inlineStr">
        <is>
          <t>Rohan Kumar</t>
        </is>
      </c>
      <c r="C3" s="2" t="inlineStr">
        <is>
          <t>candidate_03</t>
        </is>
      </c>
      <c r="D3" s="2" t="inlineStr">
        <is>
          <t>69.10%</t>
        </is>
      </c>
      <c r="E3" s="2" t="inlineStr">
        <is>
          <t>76.92%</t>
        </is>
      </c>
      <c r="F3" s="2" t="inlineStr">
        <is>
          <t>47.34%</t>
        </is>
      </c>
      <c r="G3" s="2" t="inlineStr">
        <is>
          <t>65.00%</t>
        </is>
      </c>
      <c r="H3" s="2" t="inlineStr">
        <is>
          <t>90.00%</t>
        </is>
      </c>
      <c r="I3" s="3" t="inlineStr">
        <is>
          <t>Python, Machine Learning, NLP, SQL, LLMs, Generative AI, Git, GitHub, Research, API Integration</t>
        </is>
      </c>
      <c r="J3" s="2" t="inlineStr">
        <is>
          <t>Consider</t>
        </is>
      </c>
    </row>
    <row r="4">
      <c r="A4" s="2" t="inlineStr">
        <is>
          <t>3</t>
        </is>
      </c>
      <c r="B4" s="3" t="inlineStr">
        <is>
          <t>Karan Joshi</t>
        </is>
      </c>
      <c r="C4" s="2" t="inlineStr">
        <is>
          <t>candidate_09</t>
        </is>
      </c>
      <c r="D4" s="2" t="inlineStr">
        <is>
          <t>59.52%</t>
        </is>
      </c>
      <c r="E4" s="2" t="inlineStr">
        <is>
          <t>61.54%</t>
        </is>
      </c>
      <c r="F4" s="2" t="inlineStr">
        <is>
          <t>25.61%</t>
        </is>
      </c>
      <c r="G4" s="2" t="inlineStr">
        <is>
          <t>75.00%</t>
        </is>
      </c>
      <c r="H4" s="2" t="inlineStr">
        <is>
          <t>90.00%</t>
        </is>
      </c>
      <c r="I4" s="3" t="inlineStr">
        <is>
          <t>Python, Machine Learning, NLP, SQL, Git, API Integration, Pandas, Scikit-learn</t>
        </is>
      </c>
      <c r="J4" s="2" t="inlineStr">
        <is>
          <t>Maybe</t>
        </is>
      </c>
    </row>
    <row r="5">
      <c r="A5" s="2" t="inlineStr">
        <is>
          <t>4</t>
        </is>
      </c>
      <c r="B5" s="3" t="inlineStr">
        <is>
          <t>Aarav Mehta</t>
        </is>
      </c>
      <c r="C5" s="2" t="inlineStr">
        <is>
          <t>candidate_01</t>
        </is>
      </c>
      <c r="D5" s="2" t="inlineStr">
        <is>
          <t>56.30%</t>
        </is>
      </c>
      <c r="E5" s="2" t="inlineStr">
        <is>
          <t>61.54%</t>
        </is>
      </c>
      <c r="F5" s="2" t="inlineStr">
        <is>
          <t>32.73%</t>
        </is>
      </c>
      <c r="G5" s="2" t="inlineStr">
        <is>
          <t>50.00%</t>
        </is>
      </c>
      <c r="H5" s="2" t="inlineStr">
        <is>
          <t>90.00%</t>
        </is>
      </c>
      <c r="I5" s="3" t="inlineStr">
        <is>
          <t>Python, Machine Learning, NLP, SQL, Git, GitHub, Pandas, Scikit-learn</t>
        </is>
      </c>
      <c r="J5" s="2" t="inlineStr">
        <is>
          <t>Maybe</t>
        </is>
      </c>
    </row>
    <row r="6">
      <c r="A6" s="2" t="inlineStr">
        <is>
          <t>5</t>
        </is>
      </c>
      <c r="B6" s="3" t="inlineStr">
        <is>
          <t>Diya Sharma</t>
        </is>
      </c>
      <c r="C6" s="2" t="inlineStr">
        <is>
          <t>candidate_02</t>
        </is>
      </c>
      <c r="D6" s="2" t="inlineStr">
        <is>
          <t>55.19%</t>
        </is>
      </c>
      <c r="E6" s="2" t="inlineStr">
        <is>
          <t>38.46%</t>
        </is>
      </c>
      <c r="F6" s="2" t="inlineStr">
        <is>
          <t>30.21%</t>
        </is>
      </c>
      <c r="G6" s="2" t="inlineStr">
        <is>
          <t>90.00%</t>
        </is>
      </c>
      <c r="H6" s="2" t="inlineStr">
        <is>
          <t>95.00%</t>
        </is>
      </c>
      <c r="I6" s="3" t="inlineStr">
        <is>
          <t>Python, SQL, Git, Pandas, Scikit-learn</t>
        </is>
      </c>
      <c r="J6" s="2" t="inlineStr">
        <is>
          <t>Maybe</t>
        </is>
      </c>
    </row>
    <row r="7">
      <c r="A7" s="2" t="inlineStr">
        <is>
          <t>6</t>
        </is>
      </c>
      <c r="B7" s="3" t="inlineStr">
        <is>
          <t>Aditya Kulkarni</t>
        </is>
      </c>
      <c r="C7" s="2" t="inlineStr">
        <is>
          <t>candidate_11</t>
        </is>
      </c>
      <c r="D7" s="2" t="inlineStr">
        <is>
          <t>53.52%</t>
        </is>
      </c>
      <c r="E7" s="2" t="inlineStr">
        <is>
          <t>53.85%</t>
        </is>
      </c>
      <c r="F7" s="2" t="inlineStr">
        <is>
          <t>30.95%</t>
        </is>
      </c>
      <c r="G7" s="2" t="inlineStr">
        <is>
          <t>50.00%</t>
        </is>
      </c>
      <c r="H7" s="2" t="inlineStr">
        <is>
          <t>95.00%</t>
        </is>
      </c>
      <c r="I7" s="3" t="inlineStr">
        <is>
          <t>Python, Machine Learning, NLP, SQL, LLMs, Git, Pandas</t>
        </is>
      </c>
      <c r="J7" s="2" t="inlineStr">
        <is>
          <t>Maybe</t>
        </is>
      </c>
    </row>
    <row r="8">
      <c r="A8" s="2" t="inlineStr">
        <is>
          <t>7</t>
        </is>
      </c>
      <c r="B8" s="3" t="inlineStr">
        <is>
          <t>Vikram Singh</t>
        </is>
      </c>
      <c r="C8" s="2" t="inlineStr">
        <is>
          <t>candidate_05</t>
        </is>
      </c>
      <c r="D8" s="2" t="inlineStr">
        <is>
          <t>48.98%</t>
        </is>
      </c>
      <c r="E8" s="2" t="inlineStr">
        <is>
          <t>46.15%</t>
        </is>
      </c>
      <c r="F8" s="2" t="inlineStr">
        <is>
          <t>25.07%</t>
        </is>
      </c>
      <c r="G8" s="2" t="inlineStr">
        <is>
          <t>50.00%</t>
        </is>
      </c>
      <c r="H8" s="2" t="inlineStr">
        <is>
          <t>95.00%</t>
        </is>
      </c>
      <c r="I8" s="3" t="inlineStr">
        <is>
          <t>Python, Machine Learning, SQL, Git, Pandas, Scikit-learn</t>
        </is>
      </c>
      <c r="J8" s="2" t="inlineStr">
        <is>
          <t>Maybe</t>
        </is>
      </c>
    </row>
    <row r="9">
      <c r="A9" s="2" t="inlineStr">
        <is>
          <t>8</t>
        </is>
      </c>
      <c r="B9" s="3" t="inlineStr">
        <is>
          <t>Ishita Rao</t>
        </is>
      </c>
      <c r="C9" s="2" t="inlineStr">
        <is>
          <t>candidate_04</t>
        </is>
      </c>
      <c r="D9" s="2" t="inlineStr">
        <is>
          <t>41.95%</t>
        </is>
      </c>
      <c r="E9" s="2" t="inlineStr">
        <is>
          <t>15.38%</t>
        </is>
      </c>
      <c r="F9" s="2" t="inlineStr">
        <is>
          <t>17.20%</t>
        </is>
      </c>
      <c r="G9" s="2" t="inlineStr">
        <is>
          <t>90.00%</t>
        </is>
      </c>
      <c r="H9" s="2" t="inlineStr">
        <is>
          <t>90.00%</t>
        </is>
      </c>
      <c r="I9" s="3" t="inlineStr">
        <is>
          <t>SQL, Git</t>
        </is>
      </c>
      <c r="J9" s="2" t="inlineStr">
        <is>
          <t>Reject</t>
        </is>
      </c>
    </row>
    <row r="10">
      <c r="A10" s="2" t="inlineStr">
        <is>
          <t>9</t>
        </is>
      </c>
      <c r="B10" s="3" t="inlineStr">
        <is>
          <t>Priya Verma</t>
        </is>
      </c>
      <c r="C10" s="2" t="inlineStr">
        <is>
          <t>candidate_08</t>
        </is>
      </c>
      <c r="D10" s="2" t="inlineStr">
        <is>
          <t>41.77%</t>
        </is>
      </c>
      <c r="E10" s="2" t="inlineStr">
        <is>
          <t>30.77%</t>
        </is>
      </c>
      <c r="F10" s="2" t="inlineStr">
        <is>
          <t>23.87%</t>
        </is>
      </c>
      <c r="G10" s="2" t="inlineStr">
        <is>
          <t>50.00%</t>
        </is>
      </c>
      <c r="H10" s="2" t="inlineStr">
        <is>
          <t>90.00%</t>
        </is>
      </c>
      <c r="I10" s="3" t="inlineStr">
        <is>
          <t>Python, SQL, Git, Pandas</t>
        </is>
      </c>
      <c r="J10" s="2" t="inlineStr">
        <is>
          <t>Reject</t>
        </is>
      </c>
    </row>
    <row r="11">
      <c r="A11" s="2" t="inlineStr">
        <is>
          <t>10</t>
        </is>
      </c>
      <c r="B11" s="3" t="inlineStr">
        <is>
          <t>Neha Patel</t>
        </is>
      </c>
      <c r="C11" s="2" t="inlineStr">
        <is>
          <t>candidate_06</t>
        </is>
      </c>
      <c r="D11" s="2" t="inlineStr">
        <is>
          <t>38.73%</t>
        </is>
      </c>
      <c r="E11" s="2" t="inlineStr">
        <is>
          <t>23.08%</t>
        </is>
      </c>
      <c r="F11" s="2" t="inlineStr">
        <is>
          <t>24.00%</t>
        </is>
      </c>
      <c r="G11" s="2" t="inlineStr">
        <is>
          <t>50.00%</t>
        </is>
      </c>
      <c r="H11" s="2" t="inlineStr">
        <is>
          <t>90.00%</t>
        </is>
      </c>
      <c r="I11" s="3" t="inlineStr">
        <is>
          <t>Python, SQL, Git</t>
        </is>
      </c>
      <c r="J11" s="2" t="inlineStr">
        <is>
          <t>Reject</t>
        </is>
      </c>
    </row>
    <row r="12">
      <c r="A12" s="2" t="inlineStr">
        <is>
          <t>11</t>
        </is>
      </c>
      <c r="B12" s="3" t="inlineStr">
        <is>
          <t>Sneha Iyer</t>
        </is>
      </c>
      <c r="C12" s="2" t="inlineStr">
        <is>
          <t>candidate_10</t>
        </is>
      </c>
      <c r="D12" s="2" t="inlineStr">
        <is>
          <t>30.26%</t>
        </is>
      </c>
      <c r="E12" s="2" t="inlineStr">
        <is>
          <t>0.00%</t>
        </is>
      </c>
      <c r="F12" s="2" t="inlineStr">
        <is>
          <t>11.06%</t>
        </is>
      </c>
      <c r="G12" s="2" t="inlineStr">
        <is>
          <t>100.00%</t>
        </is>
      </c>
      <c r="H12" s="2" t="inlineStr">
        <is>
          <t>50.00%</t>
        </is>
      </c>
      <c r="I12" s="3" t="inlineStr"/>
      <c r="J12" s="2" t="inlineStr">
        <is>
          <t>Reject</t>
        </is>
      </c>
    </row>
    <row r="13">
      <c r="A13" s="2" t="inlineStr">
        <is>
          <t>12</t>
        </is>
      </c>
      <c r="B13" s="3" t="inlineStr">
        <is>
          <t>Meera Thomas</t>
        </is>
      </c>
      <c r="C13" s="2" t="inlineStr">
        <is>
          <t>candidate_12</t>
        </is>
      </c>
      <c r="D13" s="2" t="inlineStr">
        <is>
          <t>22.89%</t>
        </is>
      </c>
      <c r="E13" s="2" t="inlineStr">
        <is>
          <t>0.00%</t>
        </is>
      </c>
      <c r="F13" s="2" t="inlineStr">
        <is>
          <t>21.55%</t>
        </is>
      </c>
      <c r="G13" s="2" t="inlineStr">
        <is>
          <t>50.00%</t>
        </is>
      </c>
      <c r="H13" s="2" t="inlineStr">
        <is>
          <t>50.00%</t>
        </is>
      </c>
      <c r="I13" s="3" t="inlineStr"/>
      <c r="J13" s="2" t="inlineStr">
        <is>
          <t>Reject</t>
        </is>
      </c>
    </row>
  </sheetData>
  <autoFilter ref="A1:J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4" t="inlineStr">
        <is>
          <t>RESUME SCREENING SUMMARY</t>
        </is>
      </c>
    </row>
    <row r="2"/>
    <row r="3">
      <c r="A3" s="5" t="inlineStr">
        <is>
          <t>Total Candidates</t>
        </is>
      </c>
      <c r="B3" s="3" t="n">
        <v>12</v>
      </c>
    </row>
    <row r="4">
      <c r="A4" s="5" t="inlineStr">
        <is>
          <t>Strong Match</t>
        </is>
      </c>
      <c r="B4" s="3">
        <f>COUNTIF('Screening Results'!J:J,"Strong Match")</f>
        <v/>
      </c>
    </row>
    <row r="5">
      <c r="A5" s="5" t="inlineStr">
        <is>
          <t>Consider</t>
        </is>
      </c>
      <c r="B5" s="3">
        <f>COUNTIF('Screening Results'!J:J,"Consider")</f>
        <v/>
      </c>
    </row>
    <row r="6">
      <c r="A6" s="5" t="inlineStr">
        <is>
          <t>Maybe</t>
        </is>
      </c>
      <c r="B6" s="3">
        <f>COUNTIF('Screening Results'!J:J,"Maybe")</f>
        <v/>
      </c>
    </row>
    <row r="7">
      <c r="A7" s="5" t="inlineStr">
        <is>
          <t>Reject</t>
        </is>
      </c>
      <c r="B7" s="3">
        <f>COUNTIF('Screening Results'!J:J,"Reject")</f>
        <v/>
      </c>
    </row>
    <row r="8">
      <c r="A8" s="5" t="n"/>
      <c r="B8" s="3" t="n"/>
    </row>
    <row r="9">
      <c r="A9" s="5" t="inlineStr">
        <is>
          <t>Top Candidate</t>
        </is>
      </c>
      <c r="B9" s="3">
        <f>'Screening Results'!B2</f>
        <v/>
      </c>
    </row>
    <row r="10">
      <c r="A10" s="5" t="inlineStr">
        <is>
          <t>Top Candidate Score</t>
        </is>
      </c>
      <c r="B10" s="3">
        <f>'Screening Results'!D2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2026-08-15T12:20:23Z</dcterms:created>
  <dcterms:modified xmlns:dcterms="http://purl.org/dc/terms/" xmlns:xsi="http://www.w3.org/2001/XMLSchema-instance" xsi:type="dcterms:W3CDTF">2026-08-15T12:20:24Z</dcterms:modified>
</cp:coreProperties>
</file>